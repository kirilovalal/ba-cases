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4f47a10d003a4ace" Type="http://schemas.openxmlformats.org/officeDocument/2006/relationships/officeDocument" Target="/xl/workbook.xml"/><Relationship Id="rId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трики" sheetId="1" r:id="Rf9deed6ffa9e4175"/>
    <x:sheet xmlns:r="http://schemas.openxmlformats.org/officeDocument/2006/relationships" name="Исходные" sheetId="2" r:id="Ra95a92dd7e93440e"/>
    <x:sheet xmlns:r="http://schemas.openxmlformats.org/officeDocument/2006/relationships" name="Приёмка" sheetId="3" r:id="R323619acf043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53B53"/>
      <x:name val="Arial"/>
    </x:font>
    <x:font>
      <x:sz val="11"/>
      <x:color rgb="FF59667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B53"/>
      </x:patternFill>
    </x:fill>
    <x:fill>
      <x:patternFill patternType="solid">
        <x:fgColor rgb="FFFFFFFF"/>
      </x:patternFill>
    </x:fill>
    <x:fill>
      <x:patternFill patternType="solid">
        <x:fgColor rgb="FFFFF0C7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4" fillId="2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ont>
        <x:color rgb="FFA12B2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a2efef4c8478f" /><Relationship Type="http://schemas.openxmlformats.org/officeDocument/2006/relationships/theme" Target="/xl/theme/theme1.xml" Id="R462b520b9c064783" /><Relationship Type="http://schemas.openxmlformats.org/officeDocument/2006/relationships/sharedStrings" Target="/xl/sharedStrings.xml" Id="R7f9a389355d841c3" /><Relationship Type="http://schemas.openxmlformats.org/officeDocument/2006/relationships/worksheet" Target="/xl/worksheets/sheet1.xml" Id="Rf9deed6ffa9e4175" /><Relationship Type="http://schemas.openxmlformats.org/officeDocument/2006/relationships/worksheet" Target="/xl/worksheets/sheet2.xml" Id="Ra95a92dd7e93440e" /><Relationship Type="http://schemas.openxmlformats.org/officeDocument/2006/relationships/worksheet" Target="/xl/worksheets/sheet3.xml" Id="R323619acf04341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defaultRowHeight="15"/>
  <x:cols>
    <x:col min="1" max="1" width="3" hidden="0" customWidth="1"/>
    <x:col min="2" max="2" width="54" hidden="0" customWidth="1"/>
    <x:col min="3" max="3" width="16" hidden="0" customWidth="1"/>
    <x:col min="4" max="4" width="16" hidden="0" customWidth="1"/>
    <x:col min="5" max="5" width="20" hidden="0" customWidth="1"/>
    <x:col min="6" max="6" width="26" hidden="0" customWidth="1"/>
  </x:cols>
  <x:sheetData>
    <x:row r="1" ht="24" customHeight="1">
      <x:c r="A1" s="1"/>
      <x:c r="B1" s="2"/>
      <x:c r="C1" s="4"/>
      <x:c r="D1" s="4"/>
      <x:c r="E1" s="4"/>
      <x:c r="F1" s="2"/>
    </x:row>
    <x:row r="2" ht="32" customHeight="1">
      <x:c r="A2" s="1"/>
      <x:c r="B2" s="5" t="str">
        <x:v>Расчёты по трём кейсам BA</x:v>
      </x:c>
      <x:c r="C2" s="4"/>
      <x:c r="D2" s="4"/>
      <x:c r="E2" s="4"/>
      <x:c r="F2" s="2"/>
    </x:row>
    <x:row r="3" ht="24" customHeight="1">
      <x:c r="A3" s="1"/>
      <x:c r="B3" s="6" t="str">
        <x:v>Качество требований, эскалаций и диагностики. Источник — лист «Исходные».</x:v>
      </x:c>
      <x:c r="C3" s="7"/>
      <x:c r="D3" s="7"/>
      <x:c r="E3" s="7"/>
      <x:c r="F3" s="6"/>
    </x:row>
    <x:row r="4" ht="24" customHeight="1">
      <x:c r="A4" s="1"/>
      <x:c r="B4" s="6" t="str">
        <x:v>Точные количества сохранены; доли отображаются с двумя знаками.</x:v>
      </x:c>
      <x:c r="C4" s="7"/>
      <x:c r="D4" s="7"/>
      <x:c r="E4" s="7"/>
      <x:c r="F4" s="6"/>
    </x:row>
    <x:row r="5" ht="24" customHeight="1">
      <x:c r="A5" s="1"/>
      <x:c r="B5" s="2"/>
      <x:c r="C5" s="4"/>
      <x:c r="D5" s="4"/>
      <x:c r="E5" s="4"/>
      <x:c r="F5" s="2"/>
    </x:row>
    <x:row r="6" ht="30" customHeight="1">
      <x:c r="A6" s="1"/>
      <x:c r="B6" s="12" t="str">
        <x:v>AirTrack: качество требований</x:v>
      </x:c>
      <x:c r="C6" s="13" t="str">
        <x:v>До</x:v>
      </x:c>
      <x:c r="D6" s="13" t="str">
        <x:v>После</x:v>
      </x:c>
      <x:c r="E6" s="13" t="str">
        <x:v>Разница</x:v>
      </x:c>
      <x:c r="F6" s="12" t="str">
        <x:v>Единица разницы</x:v>
      </x:c>
    </x:row>
    <x:row r="7" ht="24" customHeight="1">
      <x:c r="A7" s="1"/>
      <x:c r="B7" s="2" t="str">
        <x:v>Завершённые изменения</x:v>
      </x:c>
      <x:c r="C7" s="4" t="n">
        <x:f>IF(COUNT('Исходные'!C7,'Исходные'!C9)=2,SUM('Исходные'!C7,'Исходные'!C9),"нет данных")</x:f>
        <x:v>37</x:v>
      </x:c>
      <x:c r="D7" s="4" t="n">
        <x:f>IF(COUNT('Исходные'!D7,'Исходные'!D9)=2,SUM('Исходные'!D7,'Исходные'!D9),"нет данных")</x:f>
        <x:v>41</x:v>
      </x:c>
      <x:c r="E7" s="4" t="n">
        <x:f>IF(COUNT(C7:D7)=2,(D7-C7),"нет данных")</x:f>
        <x:v>4</x:v>
      </x:c>
      <x:c r="F7" s="2" t="str">
        <x:v>шт.</x:v>
      </x:c>
    </x:row>
    <x:row r="8" ht="24" customHeight="1">
      <x:c r="A8" s="1"/>
      <x:c r="B8" s="2" t="str">
        <x:v>Изменения с возвратом требований</x:v>
      </x:c>
      <x:c r="C8" s="4" t="n">
        <x:f>IF(COUNT('Исходные'!C8,'Исходные'!C10)=2,SUM('Исходные'!C8,'Исходные'!C10),"нет данных")</x:f>
        <x:v>13</x:v>
      </x:c>
      <x:c r="D8" s="4" t="n">
        <x:f>IF(COUNT('Исходные'!D8,'Исходные'!D10)=2,SUM('Исходные'!D8,'Исходные'!D10),"нет данных")</x:f>
        <x:v>6</x:v>
      </x:c>
      <x:c r="E8" s="4" t="n">
        <x:f>IF(COUNT(C8:D8)=2,(D8-C8),"нет данных")</x:f>
        <x:v>-7</x:v>
      </x:c>
      <x:c r="F8" s="2" t="str">
        <x:v>шт.</x:v>
      </x:c>
    </x:row>
    <x:row r="9" ht="24" customHeight="1">
      <x:c r="A9" s="1"/>
      <x:c r="B9" s="2" t="str">
        <x:v>Доля изменений с возвратом</x:v>
      </x:c>
      <x:c r="C9" s="16" t="n">
        <x:f>IF(COUNT(C7:C8)&lt;2,"нет данных",IF(OR(C7&lt;=0,C8&lt;0,C8&gt;C7),"проверьте ввод",C8/C7))</x:f>
        <x:v>0.35135135135135137</x:v>
      </x:c>
      <x:c r="D9" s="16" t="n">
        <x:f>IF(COUNT(D7:D8)&lt;2,"нет данных",IF(OR(D7&lt;=0,D8&lt;0,D8&gt;D7),"проверьте ввод",D8/D7))</x:f>
        <x:v>0.14634146341463414</x:v>
      </x:c>
      <x:c r="E9" s="17" t="n">
        <x:f>IF(COUNT(C9:D9)=2,(D9-C9)*100,"нет данных")</x:f>
        <x:v>-20.500988793671723</x:v>
      </x:c>
      <x:c r="F9" s="2" t="str">
        <x:v>п.п.</x:v>
      </x:c>
    </x:row>
    <x:row r="10" ht="24" customHeight="1">
      <x:c r="A10" s="1"/>
      <x:c r="B10" s="2"/>
      <x:c r="C10" s="4"/>
      <x:c r="D10" s="4"/>
      <x:c r="E10" s="4"/>
      <x:c r="F10" s="2"/>
    </x:row>
    <x:row r="11" ht="24" customHeight="1">
      <x:c r="A11" s="1"/>
      <x:c r="B11" s="6" t="str">
        <x:v>В выборке только завершённые изменения; новые пожелания исключены.</x:v>
      </x:c>
      <x:c r="C11" s="7"/>
      <x:c r="D11" s="7"/>
      <x:c r="E11" s="7"/>
      <x:c r="F11" s="6"/>
    </x:row>
    <x:row r="12" ht="24" customHeight="1">
      <x:c r="A12" s="1"/>
      <x:c r="B12" s="2"/>
      <x:c r="C12" s="4"/>
      <x:c r="D12" s="4"/>
      <x:c r="E12" s="4"/>
      <x:c r="F12" s="2"/>
    </x:row>
    <x:row r="13" ht="30" customHeight="1">
      <x:c r="A13" s="1"/>
      <x:c r="B13" s="12" t="str">
        <x:v>HarborWatch: эскалации вендору</x:v>
      </x:c>
      <x:c r="C13" s="13" t="str">
        <x:v>До</x:v>
      </x:c>
      <x:c r="D13" s="13" t="str">
        <x:v>После</x:v>
      </x:c>
      <x:c r="E13" s="13" t="str">
        <x:v>Разница</x:v>
      </x:c>
      <x:c r="F13" s="12" t="str">
        <x:v>Единица разницы</x:v>
      </x:c>
    </x:row>
    <x:row r="14" ht="24" customHeight="1">
      <x:c r="A14" s="1"/>
      <x:c r="B14" s="2" t="str">
        <x:v>Переданные инциденты</x:v>
      </x:c>
      <x:c r="C14" s="4" t="n">
        <x:f>IF(ISNUMBER('Исходные'!C13),'Исходные'!C13,"нет данных")</x:f>
        <x:v>26</x:v>
      </x:c>
      <x:c r="D14" s="4" t="n">
        <x:f>IF(ISNUMBER('Исходные'!D13),'Исходные'!D13,"нет данных")</x:f>
        <x:v>29</x:v>
      </x:c>
      <x:c r="E14" s="4" t="n">
        <x:f>IF(COUNT(C14:D14)=2,(D14-C14),"нет данных")</x:f>
        <x:v>3</x:v>
      </x:c>
      <x:c r="F14" s="2" t="str">
        <x:v>шт.</x:v>
      </x:c>
    </x:row>
    <x:row r="15" ht="24" customHeight="1">
      <x:c r="A15" s="1"/>
      <x:c r="B15" s="2" t="str">
        <x:v>Возвращены из-за неполных данных</x:v>
      </x:c>
      <x:c r="C15" s="4" t="n">
        <x:f>IF(ISNUMBER('Исходные'!C14),'Исходные'!C14,"нет данных")</x:f>
        <x:v>9</x:v>
      </x:c>
      <x:c r="D15" s="4" t="n">
        <x:f>IF(ISNUMBER('Исходные'!D14),'Исходные'!D14,"нет данных")</x:f>
        <x:v>3</x:v>
      </x:c>
      <x:c r="E15" s="4" t="n">
        <x:f>IF(COUNT(C15:D15)=2,(D15-C15),"нет данных")</x:f>
        <x:v>-6</x:v>
      </x:c>
      <x:c r="F15" s="2" t="str">
        <x:v>шт.</x:v>
      </x:c>
    </x:row>
    <x:row r="16" ht="24" customHeight="1">
      <x:c r="A16" s="1"/>
      <x:c r="B16" s="2" t="str">
        <x:v>Доля возвратов на дополнение</x:v>
      </x:c>
      <x:c r="C16" s="16" t="n">
        <x:f>IF(COUNT(C14:C15)&lt;2,"нет данных",IF(OR(C14&lt;=0,C15&lt;0,C15&gt;C14),"проверьте ввод",C15/C14))</x:f>
        <x:v>0.34615384615384615</x:v>
      </x:c>
      <x:c r="D16" s="16" t="n">
        <x:f>IF(COUNT(D14:D15)&lt;2,"нет данных",IF(OR(D14&lt;=0,D15&lt;0,D15&gt;D14),"проверьте ввод",D15/D14))</x:f>
        <x:v>0.10344827586206896</x:v>
      </x:c>
      <x:c r="E16" s="17" t="n">
        <x:f>IF(COUNT(C16:D16)=2,(D16-C16)*100,"нет данных")</x:f>
        <x:v>-24.27055702917772</x:v>
      </x:c>
      <x:c r="F16" s="2" t="str">
        <x:v>п.п.</x:v>
      </x:c>
    </x:row>
    <x:row r="17" ht="24" customHeight="1">
      <x:c r="A17" s="1"/>
      <x:c r="B17" s="2"/>
      <x:c r="C17" s="4"/>
      <x:c r="D17" s="4"/>
      <x:c r="E17" s="4"/>
      <x:c r="F17" s="2"/>
    </x:row>
    <x:row r="18" ht="24" customHeight="1">
      <x:c r="A18" s="1"/>
      <x:c r="B18" s="6" t="str">
        <x:v>Единица — уникальный инцидент. Это не частота сбоев уведомлений.</x:v>
      </x:c>
      <x:c r="C18" s="7"/>
      <x:c r="D18" s="7"/>
      <x:c r="E18" s="7"/>
      <x:c r="F18" s="6"/>
    </x:row>
    <x:row r="19" ht="24" customHeight="1">
      <x:c r="A19" s="1"/>
      <x:c r="B19" s="2"/>
      <x:c r="C19" s="4"/>
      <x:c r="D19" s="4"/>
      <x:c r="E19" s="4"/>
      <x:c r="F19" s="2"/>
    </x:row>
    <x:row r="20" ht="30" customHeight="1">
      <x:c r="A20" s="1"/>
      <x:c r="B20" s="12" t="str">
        <x:v>KioskCare: качество диагностики</x:v>
      </x:c>
      <x:c r="C20" s="13" t="str">
        <x:v>До</x:v>
      </x:c>
      <x:c r="D20" s="13" t="str">
        <x:v>После</x:v>
      </x:c>
      <x:c r="E20" s="13" t="str">
        <x:v>Разница</x:v>
      </x:c>
      <x:c r="F20" s="12" t="str">
        <x:v>Единица разницы</x:v>
      </x:c>
    </x:row>
    <x:row r="21" ht="24" customHeight="1">
      <x:c r="A21" s="1"/>
      <x:c r="B21" s="2" t="str">
        <x:v>Обращения выбранной категории</x:v>
      </x:c>
      <x:c r="C21" s="4" t="n">
        <x:f>IF(ISNUMBER('Исходные'!C17),'Исходные'!C17,"нет данных")</x:f>
        <x:v>58</x:v>
      </x:c>
      <x:c r="D21" s="4" t="n">
        <x:f>IF(ISNUMBER('Исходные'!D17),'Исходные'!D17,"нет данных")</x:f>
        <x:v>67</x:v>
      </x:c>
      <x:c r="E21" s="4" t="n">
        <x:f>IF(COUNT(C21:D21)=2,(D21-C21),"нет данных")</x:f>
        <x:v>9</x:v>
      </x:c>
      <x:c r="F21" s="2" t="str">
        <x:v>шт.</x:v>
      </x:c>
    </x:row>
    <x:row r="22" ht="24" customHeight="1">
      <x:c r="A22" s="1"/>
      <x:c r="B22" s="2" t="str">
        <x:v>Первая передача с полными данными</x:v>
      </x:c>
      <x:c r="C22" s="4" t="n">
        <x:f>IF(ISNUMBER('Исходные'!C18),'Исходные'!C18,"нет данных")</x:f>
        <x:v>31</x:v>
      </x:c>
      <x:c r="D22" s="4" t="n">
        <x:f>IF(ISNUMBER('Исходные'!D18),'Исходные'!D18,"нет данных")</x:f>
        <x:v>55</x:v>
      </x:c>
      <x:c r="E22" s="4" t="n">
        <x:f>IF(COUNT(C22:D22)=2,(D22-C22),"нет данных")</x:f>
        <x:v>24</x:v>
      </x:c>
      <x:c r="F22" s="2" t="str">
        <x:v>шт.</x:v>
      </x:c>
    </x:row>
    <x:row r="23" ht="24" customHeight="1">
      <x:c r="A23" s="1"/>
      <x:c r="B23" s="2" t="str">
        <x:v>Доля комплектных передач</x:v>
      </x:c>
      <x:c r="C23" s="16" t="n">
        <x:f>IF(COUNT(C21:C22)&lt;2,"нет данных",IF(OR(C21&lt;=0,C22&lt;0,C22&gt;C21),"проверьте ввод",C22/C21))</x:f>
        <x:v>0.5344827586206896</x:v>
      </x:c>
      <x:c r="D23" s="16" t="n">
        <x:f>IF(COUNT(D21:D22)&lt;2,"нет данных",IF(OR(D21&lt;=0,D22&lt;0,D22&gt;D21),"проверьте ввод",D22/D21))</x:f>
        <x:v>0.8208955223880597</x:v>
      </x:c>
      <x:c r="E23" s="17" t="n">
        <x:f>IF(COUNT(C23:D23)=2,(D23-C23)*100,"нет данных")</x:f>
        <x:v>28.64127637673701</x:v>
      </x:c>
      <x:c r="F23" s="2" t="str">
        <x:v>п.п.</x:v>
      </x:c>
    </x:row>
    <x:row r="24" ht="24" customHeight="1">
      <x:c r="A24" s="1"/>
      <x:c r="B24" s="2"/>
      <x:c r="C24" s="4"/>
      <x:c r="D24" s="4"/>
      <x:c r="E24" s="4"/>
      <x:c r="F24" s="2"/>
    </x:row>
    <x:row r="25" ht="24" customHeight="1">
      <x:c r="A25" s="1"/>
      <x:c r="B25" s="2" t="str">
        <x:v>Размер подвыборки по времени</x:v>
      </x:c>
      <x:c r="C25" s="4" t="n">
        <x:f>IF(ISNUMBER('Исходные'!C19),'Исходные'!C19,"нет данных")</x:f>
        <x:v>29</x:v>
      </x:c>
      <x:c r="D25" s="4" t="n">
        <x:f>IF(ISNUMBER('Исходные'!D19),'Исходные'!D19,"нет данных")</x:f>
        <x:v>35</x:v>
      </x:c>
      <x:c r="E25" s="4" t="n">
        <x:f>IF(COUNT(C25:D25)=2,(D25-C25),"нет данных")</x:f>
        <x:v>6</x:v>
      </x:c>
      <x:c r="F25" s="2" t="str">
        <x:v>обращения</x:v>
      </x:c>
    </x:row>
    <x:row r="26" ht="24" customHeight="1">
      <x:c r="A26" s="1"/>
      <x:c r="B26" s="2" t="str">
        <x:v>Медиана активной диагностики</x:v>
      </x:c>
      <x:c r="C26" s="4" t="n">
        <x:f>IF(ISNUMBER('Исходные'!C20),'Исходные'!C20,"нет данных")</x:f>
        <x:v>36</x:v>
      </x:c>
      <x:c r="D26" s="4" t="n">
        <x:f>IF(ISNUMBER('Исходные'!D20),'Исходные'!D20,"нет данных")</x:f>
        <x:v>24</x:v>
      </x:c>
      <x:c r="E26" s="4" t="n">
        <x:f>IF(COUNT(C26:D26)=2,(D26-C26),"нет данных")</x:f>
        <x:v>-12</x:v>
      </x:c>
      <x:c r="F26" s="2" t="str">
        <x:v>минуты</x:v>
      </x:c>
    </x:row>
    <x:row r="27" ht="24" customHeight="1">
      <x:c r="A27" s="1"/>
      <x:c r="B27" s="2"/>
      <x:c r="C27" s="4"/>
      <x:c r="D27" s="4"/>
      <x:c r="E27" s="4"/>
      <x:c r="F27" s="2"/>
    </x:row>
    <x:row r="28" ht="24" customHeight="1">
      <x:c r="A28" s="1"/>
      <x:c r="B28" s="6" t="str">
        <x:v>Медианы — входные агрегаты. Их нельзя проверить без исходных длительностей.</x:v>
      </x:c>
      <x:c r="C28" s="7"/>
      <x:c r="D28" s="7"/>
      <x:c r="E28" s="7"/>
      <x:c r="F28" s="6"/>
    </x:row>
    <x:row r="29" ht="24" customHeight="1">
      <x:c r="A29" s="1"/>
      <x:c r="B29" s="6" t="str">
        <x:v>Длительности ожидания не включены. Из этих данных не следует рост выручки.</x:v>
      </x:c>
      <x:c r="C29" s="7"/>
      <x:c r="D29" s="7"/>
      <x:c r="E29" s="7"/>
      <x:c r="F29" s="6"/>
    </x:row>
    <x:row r="30" ht="24" customHeight="1">
      <x:c r="A30" s="1"/>
      <x:c r="B30" s="2"/>
      <x:c r="C30" s="4"/>
      <x:c r="D30" s="4"/>
      <x:c r="E30" s="4"/>
      <x:c r="F30" s="2"/>
    </x:row>
    <x:row r="31" ht="24" customHeight="1">
      <x:c r="A31" s="1"/>
      <x:c r="B31" s="6" t="str">
        <x:v>Сравнение до/после не изолирует влияние релизов и состава выборки.</x:v>
      </x:c>
      <x:c r="C31" s="7"/>
      <x:c r="D31" s="7"/>
      <x:c r="E31" s="7"/>
      <x:c r="F31" s="6"/>
    </x:row>
    <x:row r="32" ht="24" customHeight="1">
      <x:c r="A32" s="1"/>
      <x:c r="B32" s="6" t="str">
        <x:v>Ноль в числителе допустим. Нет знаменателя — доля не рассчитывается.</x:v>
      </x:c>
      <x:c r="C32" s="7"/>
      <x:c r="D32" s="7"/>
      <x:c r="E32" s="7"/>
      <x:c r="F32" s="6"/>
    </x:row>
    <x:row r="33" ht="24" customHeight="1">
      <x:c r="A33" s="1"/>
      <x:c r="B33" s="2"/>
      <x:c r="C33" s="4"/>
      <x:c r="D33" s="4"/>
      <x:c r="E33" s="4"/>
      <x:c r="F33" s="2"/>
    </x:row>
    <x:row r="34" ht="24" customHeight="1">
      <x:c r="A34" s="1"/>
      <x:c r="B34" s="2"/>
      <x:c r="C34" s="4"/>
      <x:c r="D34" s="4"/>
      <x:c r="E34" s="4"/>
      <x:c r="F34" s="2"/>
    </x:row>
    <x:row r="35" ht="24" customHeight="1">
      <x:c r="A35" s="1"/>
      <x:c r="B35" s="2"/>
      <x:c r="C35" s="4"/>
      <x:c r="D35" s="4"/>
      <x:c r="E35" s="4"/>
      <x:c r="F35" s="2"/>
    </x:row>
    <x:row r="36" ht="24" customHeight="1">
      <x:c r="A36" s="1"/>
      <x:c r="B36" s="2"/>
      <x:c r="C36" s="4"/>
      <x:c r="D36" s="4"/>
      <x:c r="E36" s="4"/>
      <x:c r="F36" s="2"/>
    </x:row>
    <x:row r="37" ht="24" customHeight="1">
      <x:c r="A37" s="1"/>
      <x:c r="B37" s="2"/>
      <x:c r="C37" s="4"/>
      <x:c r="D37" s="4"/>
      <x:c r="E37" s="4"/>
      <x:c r="F37" s="2"/>
    </x:row>
    <x:row r="38" ht="24" customHeight="1">
      <x:c r="A38" s="1"/>
      <x:c r="B38" s="2"/>
      <x:c r="C38" s="4"/>
      <x:c r="D38" s="4"/>
      <x:c r="E38" s="4"/>
      <x:c r="F38" s="2"/>
    </x:row>
    <x:row r="39" ht="24" customHeight="1">
      <x:c r="A39" s="1"/>
      <x:c r="B39" s="2"/>
      <x:c r="C39" s="4"/>
      <x:c r="D39" s="4"/>
      <x:c r="E39" s="4"/>
      <x:c r="F3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59A31"/>
  </x:sheetPr>
  <x:sheetViews>
    <x:sheetView showGridLines="0" workbookViewId="0"/>
  </x:sheetViews>
  <x:sheetFormatPr defaultRowHeight="15"/>
  <x:cols>
    <x:col min="1" max="1" width="3" hidden="0" customWidth="1"/>
    <x:col min="2" max="2" width="54" hidden="0" customWidth="1"/>
    <x:col min="3" max="3" width="16" hidden="0" customWidth="1"/>
    <x:col min="4" max="4" width="16" hidden="0" customWidth="1"/>
    <x:col min="5" max="5" width="20" hidden="0" customWidth="1"/>
    <x:col min="6" max="6" width="26" hidden="0" customWidth="1"/>
  </x:cols>
  <x:sheetData>
    <x:row r="1" ht="24" customHeight="1">
      <x:c r="A1" s="1"/>
      <x:c r="B1" s="2"/>
      <x:c r="C1" s="4"/>
      <x:c r="D1" s="4"/>
      <x:c r="E1" s="4"/>
      <x:c r="F1" s="2"/>
    </x:row>
    <x:row r="2" ht="32" customHeight="1">
      <x:c r="A2" s="1"/>
      <x:c r="B2" s="5" t="str">
        <x:v>Исходные данные кейсов</x:v>
      </x:c>
      <x:c r="C2" s="4"/>
      <x:c r="D2" s="4"/>
      <x:c r="E2" s="4"/>
      <x:c r="F2" s="2"/>
    </x:row>
    <x:row r="3" ht="24" customHeight="1">
      <x:c r="A3" s="1"/>
      <x:c r="B3" s="6" t="str">
        <x:v>Периоды сравнения, единицы измерения и правила расчёта приведены ниже.</x:v>
      </x:c>
      <x:c r="C3" s="7"/>
      <x:c r="D3" s="7"/>
      <x:c r="E3" s="7"/>
      <x:c r="F3" s="6"/>
    </x:row>
    <x:row r="4" ht="24" customHeight="1">
      <x:c r="A4" s="1"/>
      <x:c r="B4" s="6" t="str">
        <x:v>Жёлтые ячейки редактируются. Количества целые; проценты рассчитываются.</x:v>
      </x:c>
      <x:c r="C4" s="7"/>
      <x:c r="D4" s="7"/>
      <x:c r="E4" s="7"/>
      <x:c r="F4" s="6"/>
    </x:row>
    <x:row r="5" ht="24" customHeight="1">
      <x:c r="A5" s="1"/>
      <x:c r="B5" s="2"/>
      <x:c r="C5" s="4"/>
      <x:c r="D5" s="4"/>
      <x:c r="E5" s="4"/>
      <x:c r="F5" s="2"/>
    </x:row>
    <x:row r="6" ht="30" customHeight="1">
      <x:c r="A6" s="1"/>
      <x:c r="B6" s="12" t="str">
        <x:v>AirTrack: два периода по 6 недель</x:v>
      </x:c>
      <x:c r="C6" s="13" t="str">
        <x:v>До</x:v>
      </x:c>
      <x:c r="D6" s="13" t="str">
        <x:v>После</x:v>
      </x:c>
      <x:c r="E6" s="14"/>
      <x:c r="F6" s="12" t="str">
        <x:v>Единица</x:v>
      </x:c>
    </x:row>
    <x:row r="7" ht="24" customHeight="1">
      <x:c r="A7" s="1"/>
      <x:c r="B7" s="2" t="str">
        <x:v>Интерфейсные изменения</x:v>
      </x:c>
      <x:c r="C7" s="15" t="n">
        <x:v>15</x:v>
      </x:c>
      <x:c r="D7" s="15" t="n">
        <x:v>17</x:v>
      </x:c>
      <x:c r="E7" s="4"/>
      <x:c r="F7" s="2" t="str">
        <x:v>шт.</x:v>
      </x:c>
    </x:row>
    <x:row r="8" ht="24" customHeight="1">
      <x:c r="A8" s="1"/>
      <x:c r="B8" s="2" t="str">
        <x:v>Из них с возвратом требований</x:v>
      </x:c>
      <x:c r="C8" s="15" t="n">
        <x:v>5</x:v>
      </x:c>
      <x:c r="D8" s="15" t="n">
        <x:v>2</x:v>
      </x:c>
      <x:c r="E8" s="4"/>
      <x:c r="F8" s="2" t="str">
        <x:v>шт.</x:v>
      </x:c>
    </x:row>
    <x:row r="9" ht="24" customHeight="1">
      <x:c r="A9" s="1"/>
      <x:c r="B9" s="2" t="str">
        <x:v>Интеграционные изменения</x:v>
      </x:c>
      <x:c r="C9" s="15" t="n">
        <x:v>22</x:v>
      </x:c>
      <x:c r="D9" s="15" t="n">
        <x:v>24</x:v>
      </x:c>
      <x:c r="E9" s="4"/>
      <x:c r="F9" s="2" t="str">
        <x:v>шт.</x:v>
      </x:c>
    </x:row>
    <x:row r="10" ht="24" customHeight="1">
      <x:c r="A10" s="1"/>
      <x:c r="B10" s="2" t="str">
        <x:v>Из них с возвратом требований</x:v>
      </x:c>
      <x:c r="C10" s="15" t="n">
        <x:v>8</x:v>
      </x:c>
      <x:c r="D10" s="15" t="n">
        <x:v>4</x:v>
      </x:c>
      <x:c r="E10" s="4"/>
      <x:c r="F10" s="2" t="str">
        <x:v>шт.</x:v>
      </x:c>
    </x:row>
    <x:row r="11" ht="24" customHeight="1">
      <x:c r="A11" s="1"/>
      <x:c r="B11" s="2"/>
      <x:c r="C11" s="4"/>
      <x:c r="D11" s="4"/>
      <x:c r="E11" s="4"/>
      <x:c r="F11" s="2"/>
    </x:row>
    <x:row r="12" ht="30" customHeight="1">
      <x:c r="A12" s="1"/>
      <x:c r="B12" s="12" t="str">
        <x:v>HarborWatch: два периода по 8 недель</x:v>
      </x:c>
      <x:c r="C12" s="13" t="str">
        <x:v>До</x:v>
      </x:c>
      <x:c r="D12" s="13" t="str">
        <x:v>После</x:v>
      </x:c>
      <x:c r="E12" s="14"/>
      <x:c r="F12" s="12" t="str">
        <x:v>Единица</x:v>
      </x:c>
    </x:row>
    <x:row r="13" ht="24" customHeight="1">
      <x:c r="A13" s="1"/>
      <x:c r="B13" s="2" t="str">
        <x:v>Переданные поставщику инциденты</x:v>
      </x:c>
      <x:c r="C13" s="15" t="n">
        <x:v>26</x:v>
      </x:c>
      <x:c r="D13" s="15" t="n">
        <x:v>29</x:v>
      </x:c>
      <x:c r="E13" s="4"/>
      <x:c r="F13" s="2" t="str">
        <x:v>шт.</x:v>
      </x:c>
    </x:row>
    <x:row r="14" ht="24" customHeight="1">
      <x:c r="A14" s="1"/>
      <x:c r="B14" s="2" t="str">
        <x:v>Возвращены из-за неполных данных</x:v>
      </x:c>
      <x:c r="C14" s="15" t="n">
        <x:v>9</x:v>
      </x:c>
      <x:c r="D14" s="15" t="n">
        <x:v>3</x:v>
      </x:c>
      <x:c r="E14" s="4"/>
      <x:c r="F14" s="2" t="str">
        <x:v>шт.</x:v>
      </x:c>
    </x:row>
    <x:row r="15" ht="24" customHeight="1">
      <x:c r="A15" s="1"/>
      <x:c r="B15" s="2"/>
      <x:c r="C15" s="4"/>
      <x:c r="D15" s="4"/>
      <x:c r="E15" s="4"/>
      <x:c r="F15" s="2"/>
    </x:row>
    <x:row r="16" ht="30" customHeight="1">
      <x:c r="A16" s="1"/>
      <x:c r="B16" s="12" t="str">
        <x:v>KioskCare: два периода по 4 недели</x:v>
      </x:c>
      <x:c r="C16" s="13" t="str">
        <x:v>До</x:v>
      </x:c>
      <x:c r="D16" s="13" t="str">
        <x:v>После</x:v>
      </x:c>
      <x:c r="E16" s="14"/>
      <x:c r="F16" s="12" t="str">
        <x:v>Единица</x:v>
      </x:c>
    </x:row>
    <x:row r="17" ht="24" customHeight="1">
      <x:c r="A17" s="1"/>
      <x:c r="B17" s="2" t="str">
        <x:v>Обращения выбранной категории</x:v>
      </x:c>
      <x:c r="C17" s="15" t="n">
        <x:v>58</x:v>
      </x:c>
      <x:c r="D17" s="15" t="n">
        <x:v>67</x:v>
      </x:c>
      <x:c r="E17" s="4"/>
      <x:c r="F17" s="2" t="str">
        <x:v>шт.</x:v>
      </x:c>
    </x:row>
    <x:row r="18" ht="24" customHeight="1">
      <x:c r="A18" s="1"/>
      <x:c r="B18" s="2" t="str">
        <x:v>Первая передача с полными данными</x:v>
      </x:c>
      <x:c r="C18" s="15" t="n">
        <x:v>31</x:v>
      </x:c>
      <x:c r="D18" s="15" t="n">
        <x:v>55</x:v>
      </x:c>
      <x:c r="E18" s="4"/>
      <x:c r="F18" s="2" t="str">
        <x:v>шт.</x:v>
      </x:c>
    </x:row>
    <x:row r="19" ht="24" customHeight="1">
      <x:c r="A19" s="1"/>
      <x:c r="B19" s="2" t="str">
        <x:v>Обращения с учётом активного времени</x:v>
      </x:c>
      <x:c r="C19" s="15" t="n">
        <x:v>29</x:v>
      </x:c>
      <x:c r="D19" s="15" t="n">
        <x:v>35</x:v>
      </x:c>
      <x:c r="E19" s="4"/>
      <x:c r="F19" s="2" t="str">
        <x:v>шт.</x:v>
      </x:c>
    </x:row>
    <x:row r="20" ht="24" customHeight="1">
      <x:c r="A20" s="1"/>
      <x:c r="B20" s="2" t="str">
        <x:v>Медиана активной диагностики</x:v>
      </x:c>
      <x:c r="C20" s="15" t="n">
        <x:v>36</x:v>
      </x:c>
      <x:c r="D20" s="15" t="n">
        <x:v>24</x:v>
      </x:c>
      <x:c r="E20" s="4"/>
      <x:c r="F20" s="2" t="str">
        <x:v>минуты</x:v>
      </x:c>
    </x:row>
    <x:row r="21" ht="24" customHeight="1">
      <x:c r="A21" s="1"/>
      <x:c r="B21" s="2"/>
      <x:c r="C21" s="4"/>
      <x:c r="D21" s="4"/>
      <x:c r="E21" s="4"/>
      <x:c r="F21" s="2"/>
    </x:row>
    <x:row r="22" ht="24" customHeight="1">
      <x:c r="A22" s="1"/>
      <x:c r="B22" s="6" t="str">
        <x:v>Медианы внесены агрегатами; исходные длительности обращений не приложены.</x:v>
      </x:c>
      <x:c r="C22" s="7"/>
      <x:c r="D22" s="7"/>
      <x:c r="E22" s="7"/>
      <x:c r="F22" s="6"/>
    </x:row>
    <x:row r="23" ht="24" customHeight="1">
      <x:c r="A23" s="1"/>
      <x:c r="B23" s="6" t="str">
        <x:v>Ожидание клиента и вендора не входит в активное время диагностики.</x:v>
      </x:c>
      <x:c r="C23" s="7"/>
      <x:c r="D23" s="7"/>
      <x:c r="E23" s="7"/>
      <x:c r="F23" s="6"/>
    </x:row>
    <x:row r="24" ht="24" customHeight="1">
      <x:c r="A24" s="1"/>
      <x:c r="B24" s="2"/>
      <x:c r="C24" s="4"/>
      <x:c r="D24" s="4"/>
      <x:c r="E24" s="4"/>
      <x:c r="F24" s="2"/>
    </x:row>
    <x:row r="25" ht="24" customHeight="1">
      <x:c r="A25" s="1"/>
      <x:c r="B25" s="6" t="str">
        <x:v>Источник: BA_Softintermob_Story_RU.md, разделы 2–4.</x:v>
      </x:c>
      <x:c r="C25" s="7"/>
      <x:c r="D25" s="7"/>
      <x:c r="E25" s="7"/>
      <x:c r="F25" s="6"/>
    </x:row>
    <x:row r="26" ht="24" customHeight="1">
      <x:c r="A26" s="1"/>
      <x:c r="B26" s="6" t="str">
        <x:v>Сравнение периодов показывает динамику; причинность не установлена.</x:v>
      </x:c>
      <x:c r="C26" s="7"/>
      <x:c r="D26" s="7"/>
      <x:c r="E26" s="7"/>
      <x:c r="F26" s="6"/>
    </x:row>
    <x:row r="27" ht="24" customHeight="1">
      <x:c r="A27" s="1"/>
      <x:c r="B27" s="2"/>
      <x:c r="C27" s="4"/>
      <x:c r="D27" s="4"/>
      <x:c r="E27" s="4"/>
      <x:c r="F27" s="2"/>
    </x:row>
    <x:row r="28" ht="24" customHeight="1">
      <x:c r="A28" s="1"/>
      <x:c r="B28" s="2"/>
      <x:c r="C28" s="4"/>
      <x:c r="D28" s="4"/>
      <x:c r="E28" s="4"/>
      <x:c r="F28" s="2"/>
    </x:row>
    <x:row r="29" ht="24" customHeight="1">
      <x:c r="A29" s="1"/>
      <x:c r="B29" s="2"/>
      <x:c r="C29" s="4"/>
      <x:c r="D29" s="4"/>
      <x:c r="E29" s="4"/>
      <x:c r="F29" s="2"/>
    </x:row>
  </x:sheetData>
  <x:dataValidations count="10">
    <x:dataValidation type="whole" operator="greaterThanOrEqual" sqref="C7:D7">
      <x:formula1>0</x:formula1>
    </x:dataValidation>
    <x:dataValidation type="whole" operator="greaterThanOrEqual" sqref="C8:D8">
      <x:formula1>0</x:formula1>
    </x:dataValidation>
    <x:dataValidation type="whole" operator="greaterThanOrEqual" sqref="C9:D9">
      <x:formula1>0</x:formula1>
    </x:dataValidation>
    <x:dataValidation type="whole" operator="greaterThanOrEqual" sqref="C10:D10">
      <x:formula1>0</x:formula1>
    </x:dataValidation>
    <x:dataValidation type="whole" operator="greaterThanOrEqual" sqref="C13:D13">
      <x:formula1>0</x:formula1>
    </x:dataValidation>
    <x:dataValidation type="whole" operator="greaterThanOrEqual" sqref="C14:D14">
      <x:formula1>0</x:formula1>
    </x:dataValidation>
    <x:dataValidation type="whole" operator="greaterThanOrEqual" sqref="C17:D17">
      <x:formula1>0</x:formula1>
    </x:dataValidation>
    <x:dataValidation type="whole" operator="greaterThanOrEqual" sqref="C18:D18">
      <x:formula1>0</x:formula1>
    </x:dataValidation>
    <x:dataValidation type="whole" operator="greaterThanOrEqual" sqref="C19:D19">
      <x:formula1>0</x:formula1>
    </x:dataValidation>
    <x:dataValidation type="whole" operator="greaterThanOrEqual" sqref="C20:D20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" hidden="0" customWidth="1"/>
    <x:col min="2" max="2" width="18" hidden="0" customWidth="1"/>
    <x:col min="3" max="3" width="29" hidden="0" customWidth="1"/>
    <x:col min="4" max="4" width="33" hidden="0" customWidth="1"/>
    <x:col min="5" max="5" width="37" hidden="0" customWidth="1"/>
    <x:col min="6" max="6" width="21" hidden="0" customWidth="1"/>
    <x:col min="7" max="7" width="36" hidden="0" customWidth="1"/>
    <x:col min="8" max="8" width="29" hidden="0" customWidth="1"/>
    <x:col min="9" max="9" width="22" hidden="0" customWidth="1"/>
  </x:cols>
  <x:sheetData>
    <x:row r="1" ht="24" customHeight="1">
      <x:c r="A1" s="1"/>
      <x:c r="B1" s="2"/>
      <x:c r="C1" s="4"/>
      <x:c r="D1" s="4"/>
      <x:c r="E1" s="4"/>
      <x:c r="F1" s="2"/>
      <x:c r="G1" s="2"/>
      <x:c r="H1" s="2"/>
      <x:c r="I1" s="2"/>
    </x:row>
    <x:row r="2" ht="32" customHeight="1">
      <x:c r="A2" s="1"/>
      <x:c r="B2" s="5" t="str">
        <x:v>Реестр приёмки</x:v>
      </x:c>
      <x:c r="C2" s="4"/>
      <x:c r="D2" s="4"/>
      <x:c r="E2" s="4"/>
      <x:c r="F2" s="2"/>
      <x:c r="G2" s="2"/>
      <x:c r="H2" s="2"/>
      <x:c r="I2" s="2"/>
    </x:row>
    <x:row r="3" ht="24" customHeight="1">
      <x:c r="A3" s="1"/>
      <x:c r="B3" s="6" t="str">
        <x:v>План проверок. Фактические результаты и подтверждения заполняются при выполнении.</x:v>
      </x:c>
      <x:c r="C3" s="7"/>
      <x:c r="D3" s="7"/>
      <x:c r="E3" s="7"/>
      <x:c r="F3" s="6"/>
      <x:c r="G3" s="2"/>
      <x:c r="H3" s="2"/>
      <x:c r="I3" s="2"/>
    </x:row>
    <x:row r="4" ht="24" customHeight="1">
      <x:c r="A4" s="1"/>
      <x:c r="B4" s="2"/>
      <x:c r="C4" s="4"/>
      <x:c r="D4" s="4"/>
      <x:c r="E4" s="4"/>
      <x:c r="F4" s="2"/>
      <x:c r="G4" s="2"/>
      <x:c r="H4" s="2"/>
      <x:c r="I4" s="2"/>
    </x:row>
    <x:row r="5" ht="24" customHeight="1">
      <x:c r="A5" s="1"/>
      <x:c r="B5" s="2"/>
      <x:c r="C5" s="4"/>
      <x:c r="D5" s="4"/>
      <x:c r="E5" s="4"/>
      <x:c r="F5" s="2"/>
      <x:c r="G5" s="2"/>
      <x:c r="H5" s="2"/>
      <x:c r="I5" s="2"/>
    </x:row>
    <x:row r="6" ht="44" customHeight="1">
      <x:c r="A6" s="1"/>
      <x:c r="B6" s="20" t="str">
        <x:v>Проверка</x:v>
      </x:c>
      <x:c r="C6" s="21" t="str">
        <x:v>Правило / требование</x:v>
      </x:c>
      <x:c r="D6" s="21" t="str">
        <x:v>Условие</x:v>
      </x:c>
      <x:c r="E6" s="21" t="str">
        <x:v>Ожидаемый результат</x:v>
      </x:c>
      <x:c r="F6" s="20" t="str">
        <x:v>Статус</x:v>
      </x:c>
      <x:c r="G6" s="20" t="str">
        <x:v>Фактический результат</x:v>
      </x:c>
      <x:c r="H6" s="20" t="str">
        <x:v>Подтверждение</x:v>
      </x:c>
      <x:c r="I6" s="20" t="str">
        <x:v>Исполнитель</x:v>
      </x:c>
    </x:row>
    <x:row r="7" ht="66" customHeight="1">
      <x:c r="A7" s="1"/>
      <x:c r="B7" s="24" t="str">
        <x:v>AIR-UAT-01</x:v>
      </x:c>
      <x:c r="C7" s="25" t="str">
        <x:v>AIR-BR-02 / AIR-FR-01</x:v>
      </x:c>
      <x:c r="D7" s="25" t="str">
        <x:v>Два подходящих вылета</x:v>
      </x:c>
      <x:c r="E7" s="25" t="str">
        <x:v>Выбор с датой и маршрутом</x:v>
      </x:c>
      <x:c r="F7" s="26" t="str">
        <x:v>Не выполнялся</x:v>
      </x:c>
      <x:c r="G7" s="26"/>
      <x:c r="H7" s="26"/>
      <x:c r="I7" s="26"/>
    </x:row>
    <x:row r="8" ht="66" customHeight="1">
      <x:c r="A8" s="1"/>
      <x:c r="B8" s="24" t="str">
        <x:v>AIR-UAT-02</x:v>
      </x:c>
      <x:c r="C8" s="25" t="str">
        <x:v>AIR-BR-04,05 / AIR-FR-01</x:v>
      </x:c>
      <x:c r="D8" s="25" t="str">
        <x:v>Пустой ответ; отдельно таймаут</x:v>
      </x:c>
      <x:c r="E8" s="25" t="str">
        <x:v>Разные состояния; ввод сохранён</x:v>
      </x:c>
      <x:c r="F8" s="26" t="str">
        <x:v>Не выполнялся</x:v>
      </x:c>
      <x:c r="G8" s="26"/>
      <x:c r="H8" s="26"/>
      <x:c r="I8" s="26"/>
    </x:row>
    <x:row r="9" ht="66" customHeight="1">
      <x:c r="A9" s="1"/>
      <x:c r="B9" s="24" t="str">
        <x:v>AIR-UAT-03</x:v>
      </x:c>
      <x:c r="C9" s="25" t="str">
        <x:v>AIR-BR-03 / AIR-FR-01</x:v>
      </x:c>
      <x:c r="D9" s="25" t="str">
        <x:v>Ответ A приходит после результата B</x:v>
      </x:c>
      <x:c r="E9" s="25" t="str">
        <x:v>Выдача B не заменена ответом A</x:v>
      </x:c>
      <x:c r="F9" s="26" t="str">
        <x:v>Не выполнялся</x:v>
      </x:c>
      <x:c r="G9" s="26"/>
      <x:c r="H9" s="26"/>
      <x:c r="I9" s="26"/>
    </x:row>
    <x:row r="10" ht="66" customHeight="1">
      <x:c r="A10" s="1"/>
      <x:c r="B10" s="24" t="str">
        <x:v>AIR-UAT-04</x:v>
      </x:c>
      <x:c r="C10" s="25" t="str">
        <x:v>AIR-BR-01 / AIR-FR-01</x:v>
      </x:c>
      <x:c r="D10" s="25" t="str">
        <x:v>Местная дата отличается от UTC-дня</x:v>
      </x:c>
      <x:c r="E10" s="25" t="str">
        <x:v>Местная дата; нет угадывания данных</x:v>
      </x:c>
      <x:c r="F10" s="26" t="str">
        <x:v>Не выполнялся</x:v>
      </x:c>
      <x:c r="G10" s="26"/>
      <x:c r="H10" s="26"/>
      <x:c r="I10" s="26"/>
    </x:row>
    <x:row r="11" ht="66" customHeight="1">
      <x:c r="A11" s="1"/>
      <x:c r="B11" s="24" t="str">
        <x:v>HBR-UAT-01</x:v>
      </x:c>
      <x:c r="C11" s="25" t="str">
        <x:v>HBR-BR-01 / HBR-FR-01</x:v>
      </x:c>
      <x:c r="D11" s="25" t="str">
        <x:v>Повтор одного event_id</x:v>
      </x:c>
      <x:c r="E11" s="25" t="str">
        <x:v>Одна независимая доставка</x:v>
      </x:c>
      <x:c r="F11" s="26" t="str">
        <x:v>Не выполнялся</x:v>
      </x:c>
      <x:c r="G11" s="26"/>
      <x:c r="H11" s="26"/>
      <x:c r="I11" s="26"/>
    </x:row>
    <x:row r="12" ht="66" customHeight="1">
      <x:c r="A12" s="1"/>
      <x:c r="B12" s="24" t="str">
        <x:v>HBR-UAT-02</x:v>
      </x:c>
      <x:c r="C12" s="25" t="str">
        <x:v>HBR-BR-02 / HBR-FR-01</x:v>
      </x:c>
      <x:c r="D12" s="25" t="str">
        <x:v>Два разных события одного судна</x:v>
      </x:c>
      <x:c r="E12" s="25" t="str">
        <x:v>Оба обработаны по правилам</x:v>
      </x:c>
      <x:c r="F12" s="26" t="str">
        <x:v>Не выполнялся</x:v>
      </x:c>
      <x:c r="G12" s="26"/>
      <x:c r="H12" s="26"/>
      <x:c r="I12" s="26"/>
    </x:row>
    <x:row r="13" ht="66" customHeight="1">
      <x:c r="A13" s="1"/>
      <x:c r="B13" s="24" t="str">
        <x:v>HBR-UAT-03</x:v>
      </x:c>
      <x:c r="C13" s="25" t="str">
        <x:v>HBR-BR-03 / HBR-FR-01</x:v>
      </x:c>
      <x:c r="D13" s="25" t="str">
        <x:v>Отключение до передачи на отправку</x:v>
      </x:c>
      <x:c r="E13" s="25" t="str">
        <x:v>Новое сообщение подавлено</x:v>
      </x:c>
      <x:c r="F13" s="26" t="str">
        <x:v>Не выполнялся</x:v>
      </x:c>
      <x:c r="G13" s="26"/>
      <x:c r="H13" s="26"/>
      <x:c r="I13" s="26"/>
    </x:row>
    <x:row r="14" ht="66" customHeight="1">
      <x:c r="A14" s="1"/>
      <x:c r="B14" s="24" t="str">
        <x:v>HBR-UAT-04</x:v>
      </x:c>
      <x:c r="C14" s="25" t="str">
        <x:v>HBR-BR-04 / HBR-FR-01</x:v>
      </x:c>
      <x:c r="D14" s="25" t="str">
        <x:v>Нет подтверждения передачи</x:v>
      </x:c>
      <x:c r="E14" s="25" t="str">
        <x:v>Неизвестный статус; сверка</x:v>
      </x:c>
      <x:c r="F14" s="26" t="str">
        <x:v>Не выполнялся</x:v>
      </x:c>
      <x:c r="G14" s="26"/>
      <x:c r="H14" s="26"/>
      <x:c r="I14" s="26"/>
    </x:row>
    <x:row r="15" ht="66" customHeight="1">
      <x:c r="A15" s="1"/>
      <x:c r="B15" s="24" t="str">
        <x:v>KSK-UAT-01</x:v>
      </x:c>
      <x:c r="C15" s="25" t="str">
        <x:v>KSK-BR-01,04 / KSK-FR-01</x:v>
      </x:c>
      <x:c r="D15" s="25" t="str">
        <x:v>Оплата подтверждена; заказа нет</x:v>
      </x:c>
      <x:c r="E15" s="25" t="str">
        <x:v>Эскалация без повторной оплаты</x:v>
      </x:c>
      <x:c r="F15" s="26" t="str">
        <x:v>Не выполнялся</x:v>
      </x:c>
      <x:c r="G15" s="26"/>
      <x:c r="H15" s="26"/>
      <x:c r="I15" s="26"/>
    </x:row>
    <x:row r="16" ht="66" customHeight="1">
      <x:c r="A16" s="1"/>
      <x:c r="B16" s="24" t="str">
        <x:v>KSK-UAT-02</x:v>
      </x:c>
      <x:c r="C16" s="25" t="str">
        <x:v>KSK-BR-02 / KSK-FR-01</x:v>
      </x:c>
      <x:c r="D16" s="25" t="str">
        <x:v>Источник оплаты недоступен</x:v>
      </x:c>
      <x:c r="E16" s="25" t="str">
        <x:v>Неизвестно, а не «не оплачено»</x:v>
      </x:c>
      <x:c r="F16" s="26" t="str">
        <x:v>Не выполнялся</x:v>
      </x:c>
      <x:c r="G16" s="26"/>
      <x:c r="H16" s="26"/>
      <x:c r="I16" s="26"/>
    </x:row>
    <x:row r="17" ht="66" customHeight="1">
      <x:c r="A17" s="1"/>
      <x:c r="B17" s="24" t="str">
        <x:v>KSK-UAT-03</x:v>
      </x:c>
      <x:c r="C17" s="25" t="str">
        <x:v>KSK-BR-05 / KSK-FR-01</x:v>
      </x:c>
      <x:c r="D17" s="25" t="str">
        <x:v>Оператор инициирует финансовое действие</x:v>
      </x:c>
      <x:c r="E17" s="25" t="str">
        <x:v>Проверка полномочий</x:v>
      </x:c>
      <x:c r="F17" s="26" t="str">
        <x:v>Не выполнялся</x:v>
      </x:c>
      <x:c r="G17" s="26"/>
      <x:c r="H17" s="26"/>
      <x:c r="I17" s="26"/>
    </x:row>
    <x:row r="18" ht="66" customHeight="1">
      <x:c r="A18" s="1"/>
      <x:c r="B18" s="24" t="str">
        <x:v>KSK-UAT-04</x:v>
      </x:c>
      <x:c r="C18" s="25" t="str">
        <x:v>KSK-BR-01 / KSK-FR-01</x:v>
      </x:c>
      <x:c r="D18" s="25" t="str">
        <x:v>Есть payment_id; нет order_id</x:v>
      </x:c>
      <x:c r="E18" s="25" t="str">
        <x:v>Передача без выдуманного ID</x:v>
      </x:c>
      <x:c r="F18" s="26" t="str">
        <x:v>Не выполнялся</x:v>
      </x:c>
      <x:c r="G18" s="26"/>
      <x:c r="H18" s="26"/>
      <x:c r="I18" s="26"/>
    </x:row>
    <x:row r="19" ht="24" customHeight="1">
      <x:c r="A19" s="1"/>
      <x:c r="B19" s="2"/>
      <x:c r="C19" s="4"/>
      <x:c r="D19" s="4"/>
      <x:c r="E19" s="4"/>
      <x:c r="F19" s="2"/>
      <x:c r="G19" s="2"/>
      <x:c r="H19" s="2"/>
      <x:c r="I19" s="2"/>
    </x:row>
    <x:row r="20" ht="24" customHeight="1">
      <x:c r="A20" s="1"/>
      <x:c r="B20" s="6" t="str">
        <x:v>«Пройден» указывать только после выполнения с фактическим результатом и подтверждением.</x:v>
      </x:c>
      <x:c r="C20" s="7"/>
      <x:c r="D20" s="7"/>
      <x:c r="E20" s="7"/>
      <x:c r="F20" s="6"/>
      <x:c r="G20" s="6"/>
      <x:c r="H20" s="6"/>
      <x:c r="I20" s="6"/>
    </x:row>
    <x:row r="21" ht="24" customHeight="1">
      <x:c r="A21" s="1"/>
      <x:c r="B21" s="2"/>
      <x:c r="C21" s="4"/>
      <x:c r="D21" s="4"/>
      <x:c r="E21" s="4"/>
      <x:c r="F21" s="2"/>
      <x:c r="G21" s="2"/>
      <x:c r="H21" s="2"/>
      <x:c r="I21" s="2"/>
    </x:row>
    <x:row r="22" ht="24" customHeight="1">
      <x:c r="A22" s="1"/>
      <x:c r="B22" s="2"/>
      <x:c r="C22" s="4"/>
      <x:c r="D22" s="4"/>
      <x:c r="E22" s="4"/>
      <x:c r="F22" s="2"/>
      <x:c r="G22" s="2"/>
      <x:c r="H22" s="2"/>
      <x:c r="I22" s="2"/>
    </x:row>
  </x:sheetData>
  <x:conditionalFormatting sqref="F7:F18">
    <x:cfRule type="containsText" dxfId="0" priority="1" operator="containsText" text="Не пройден"/>
  </x:conditionalFormatting>
  <x:dataValidations count="1">
    <x:dataValidation type="list" sqref="F7:F18">
      <x:formula1>"Не выполнялся,Пройден,Не пройден,Заблокирован"</x:formula1>
    </x:dataValidation>
  </x:dataValidation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Кирилов Александр</dc:creator>
</cp:coreProperties>
</file>